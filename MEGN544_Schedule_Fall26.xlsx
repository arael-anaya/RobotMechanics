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nes0-my.sharepoint.com/personal/george_kontoudis_mines_edu/Documents/Teaching/2026/2.Fall/"/>
    </mc:Choice>
  </mc:AlternateContent>
  <xr:revisionPtr revIDLastSave="2755" documentId="10_ncr:0_{FEF5D2B1-7610-4AA5-BCF1-C0415ADDBA6A}" xr6:coauthVersionLast="47" xr6:coauthVersionMax="47" xr10:uidLastSave="{262912C3-B41D-4F81-AA94-6402895BCA99}"/>
  <bookViews>
    <workbookView xWindow="14325" yWindow="-16320" windowWidth="29040" windowHeight="15720" xr2:uid="{E85369ED-F28F-43DD-9DCE-41E6792E5790}"/>
  </bookViews>
  <sheets>
    <sheet name="Fall25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3" i="2" l="1"/>
  <c r="B8" i="2"/>
  <c r="B9" i="2" s="1"/>
  <c r="B11" i="2" s="1"/>
  <c r="B6" i="2"/>
  <c r="B12" i="2" l="1"/>
  <c r="B16" i="2" l="1"/>
  <c r="B17" i="2" s="1"/>
  <c r="B19" i="2" s="1"/>
  <c r="B13" i="2"/>
  <c r="B15" i="2" s="1"/>
  <c r="B20" i="2" l="1"/>
  <c r="B21" i="2" s="1"/>
  <c r="B23" i="2" s="1"/>
  <c r="B24" i="2" l="1"/>
  <c r="B28" i="2" l="1"/>
  <c r="B25" i="2"/>
  <c r="B27" i="2" l="1"/>
  <c r="B32" i="2"/>
  <c r="B29" i="2"/>
  <c r="B31" i="2" l="1"/>
  <c r="B33" i="2"/>
  <c r="B36" i="2"/>
  <c r="B40" i="2" l="1"/>
  <c r="B37" i="2"/>
  <c r="B44" i="2" l="1"/>
  <c r="B39" i="2"/>
  <c r="B41" i="2"/>
  <c r="B45" i="2" l="1"/>
  <c r="B47" i="2" s="1"/>
  <c r="B48" i="2"/>
  <c r="B52" i="2" l="1"/>
  <c r="B49" i="2"/>
  <c r="B51" i="2" s="1"/>
  <c r="B53" i="2" l="1"/>
  <c r="B55" i="2" l="1"/>
  <c r="B56" i="2"/>
  <c r="B57" i="2" s="1"/>
  <c r="B60" i="2"/>
  <c r="B61" i="2" l="1"/>
  <c r="B62" i="2" s="1"/>
  <c r="B59" i="2"/>
  <c r="B64" i="2"/>
  <c r="B65" i="2" s="1"/>
  <c r="B66" i="2" s="1"/>
</calcChain>
</file>

<file path=xl/sharedStrings.xml><?xml version="1.0" encoding="utf-8"?>
<sst xmlns="http://schemas.openxmlformats.org/spreadsheetml/2006/main" count="110" uniqueCount="102">
  <si>
    <t>Week</t>
  </si>
  <si>
    <t>HW due</t>
  </si>
  <si>
    <t xml:space="preserve"> </t>
  </si>
  <si>
    <t>HW assigned</t>
  </si>
  <si>
    <t>No Class - Mines Review Day</t>
  </si>
  <si>
    <t>Quiz</t>
  </si>
  <si>
    <r>
      <t>Chapter (</t>
    </r>
    <r>
      <rPr>
        <b/>
        <i/>
        <sz val="12"/>
        <rFont val="Arial"/>
        <family val="2"/>
      </rPr>
      <t>Hollerbach</t>
    </r>
    <r>
      <rPr>
        <b/>
        <sz val="12"/>
        <rFont val="Arial"/>
        <family val="2"/>
      </rPr>
      <t>)</t>
    </r>
  </si>
  <si>
    <t>4.1-4.3</t>
  </si>
  <si>
    <t>5.1-5.2</t>
  </si>
  <si>
    <r>
      <rPr>
        <sz val="12"/>
        <color theme="1"/>
        <rFont val="Arial"/>
        <family val="2"/>
      </rPr>
      <t>Q5 (</t>
    </r>
    <r>
      <rPr>
        <i/>
        <sz val="12"/>
        <color theme="1"/>
        <rFont val="Arial"/>
        <family val="2"/>
      </rPr>
      <t>DH Parameters</t>
    </r>
    <r>
      <rPr>
        <sz val="12"/>
        <color theme="1"/>
        <rFont val="Arial"/>
        <family val="2"/>
      </rPr>
      <t>)</t>
    </r>
  </si>
  <si>
    <r>
      <rPr>
        <sz val="12"/>
        <color theme="1"/>
        <rFont val="Arial"/>
        <family val="2"/>
      </rPr>
      <t>Q1 (</t>
    </r>
    <r>
      <rPr>
        <i/>
        <sz val="12"/>
        <color theme="1"/>
        <rFont val="Arial"/>
        <family val="2"/>
      </rPr>
      <t>Linear Algebra</t>
    </r>
    <r>
      <rPr>
        <sz val="12"/>
        <color theme="1"/>
        <rFont val="Arial"/>
        <family val="2"/>
      </rPr>
      <t>)</t>
    </r>
  </si>
  <si>
    <t>HW3</t>
  </si>
  <si>
    <t>HW4</t>
  </si>
  <si>
    <r>
      <t>HW4 (</t>
    </r>
    <r>
      <rPr>
        <i/>
        <sz val="12"/>
        <rFont val="Arial"/>
        <family val="2"/>
      </rPr>
      <t>DH Parameters</t>
    </r>
    <r>
      <rPr>
        <sz val="12"/>
        <rFont val="Arial"/>
        <family val="2"/>
      </rPr>
      <t>)</t>
    </r>
  </si>
  <si>
    <r>
      <t>HW5 (</t>
    </r>
    <r>
      <rPr>
        <i/>
        <sz val="12"/>
        <rFont val="Arial"/>
        <family val="2"/>
      </rPr>
      <t>Inverse Kinematics</t>
    </r>
    <r>
      <rPr>
        <sz val="12"/>
        <rFont val="Arial"/>
        <family val="2"/>
      </rPr>
      <t>)</t>
    </r>
  </si>
  <si>
    <t>HW7</t>
  </si>
  <si>
    <t>HW8</t>
  </si>
  <si>
    <t xml:space="preserve">*Schedule is subject to change; information given in class supercedes this schedule. </t>
  </si>
  <si>
    <t>Review Midterm</t>
  </si>
  <si>
    <t>HW9</t>
  </si>
  <si>
    <t>A.1-A.3</t>
  </si>
  <si>
    <t xml:space="preserve">L1: Syllabus &amp; Math Intro </t>
  </si>
  <si>
    <t>2.1-2.4</t>
  </si>
  <si>
    <t>3.1-3.4</t>
  </si>
  <si>
    <r>
      <rPr>
        <sz val="12"/>
        <rFont val="Arial"/>
        <family val="2"/>
      </rPr>
      <t xml:space="preserve">HW1 </t>
    </r>
    <r>
      <rPr>
        <i/>
        <sz val="12"/>
        <rFont val="Arial"/>
        <family val="2"/>
      </rPr>
      <t>(3D Tranformations &amp; Rotation)</t>
    </r>
  </si>
  <si>
    <r>
      <rPr>
        <sz val="12"/>
        <rFont val="Arial"/>
        <family val="2"/>
      </rPr>
      <t xml:space="preserve">HW2 </t>
    </r>
    <r>
      <rPr>
        <i/>
        <sz val="12"/>
        <rFont val="Arial"/>
        <family val="2"/>
      </rPr>
      <t xml:space="preserve">(Angle-Axis &amp; Quaternions) </t>
    </r>
  </si>
  <si>
    <t>HW5</t>
  </si>
  <si>
    <r>
      <t>1-7 (</t>
    </r>
    <r>
      <rPr>
        <i/>
        <sz val="12"/>
        <color rgb="FF000000"/>
        <rFont val="Arial"/>
        <family val="2"/>
      </rPr>
      <t>Jia</t>
    </r>
    <r>
      <rPr>
        <sz val="12"/>
        <color rgb="FF000000"/>
        <rFont val="Arial"/>
        <family val="2"/>
      </rPr>
      <t>)</t>
    </r>
  </si>
  <si>
    <t xml:space="preserve">L9: Forward Kinematics </t>
  </si>
  <si>
    <t xml:space="preserve">L10: Inverse Kinematics I </t>
  </si>
  <si>
    <t xml:space="preserve">5.3-5.5 </t>
  </si>
  <si>
    <t xml:space="preserve">6.2-6.3 </t>
  </si>
  <si>
    <t>L14: Trajectory Planning II - Constant Acceleration Interpolation</t>
  </si>
  <si>
    <t xml:space="preserve">L13: Trajectory Planning I - Polynomial Interpolation </t>
  </si>
  <si>
    <t>Course notes</t>
  </si>
  <si>
    <t>7.1-7.4</t>
  </si>
  <si>
    <t>8.2-8.3</t>
  </si>
  <si>
    <t>10.4-10.5</t>
  </si>
  <si>
    <t>L8: Dual Quaternions for Homogeneous Transformations</t>
  </si>
  <si>
    <t>MEGN 544/ ROBO 554 - Robot Mechanics: Kinematics, Dynamics, and Control</t>
  </si>
  <si>
    <t>Programming Assignemt Description</t>
  </si>
  <si>
    <t>Programming Assignment 1 due</t>
  </si>
  <si>
    <t>Programming Assignment 2 due</t>
  </si>
  <si>
    <t>Programming Assignment 3 due</t>
  </si>
  <si>
    <t>Programming Assignment 4 due</t>
  </si>
  <si>
    <t>Project Proposal due</t>
  </si>
  <si>
    <t>Project Mid-review due</t>
  </si>
  <si>
    <t>Project &amp; Individual Report - In lieu of Final Exam</t>
  </si>
  <si>
    <t>Date</t>
  </si>
  <si>
    <t>Topic</t>
  </si>
  <si>
    <t>No class - Thanksgiving break</t>
  </si>
  <si>
    <t>HW1</t>
  </si>
  <si>
    <t>L5: Angle-Axis for Rotation Matrices</t>
  </si>
  <si>
    <t xml:space="preserve">L6: Quaternions for Rotations Matrices </t>
  </si>
  <si>
    <r>
      <t>3.11 &amp; 3.2-3.3 (</t>
    </r>
    <r>
      <rPr>
        <i/>
        <sz val="12"/>
        <color theme="1"/>
        <rFont val="Arial"/>
        <family val="2"/>
      </rPr>
      <t>Lynch et al.</t>
    </r>
    <r>
      <rPr>
        <sz val="12"/>
        <color theme="1"/>
        <rFont val="Arial"/>
        <family val="2"/>
      </rPr>
      <t>)</t>
    </r>
  </si>
  <si>
    <t>L4: Spatial Transformation and 3D Rotation</t>
  </si>
  <si>
    <t>L2: Linear Algebra &amp; Rotation Matrix</t>
  </si>
  <si>
    <t xml:space="preserve">L3: Rotation and Homogeneous Transformation </t>
  </si>
  <si>
    <t xml:space="preserve">2.5-2.6 </t>
  </si>
  <si>
    <r>
      <t>3.10 &amp; 3.2 (</t>
    </r>
    <r>
      <rPr>
        <i/>
        <sz val="12"/>
        <color theme="1"/>
        <rFont val="Arial"/>
        <family val="2"/>
      </rPr>
      <t>Lynch et al.</t>
    </r>
    <r>
      <rPr>
        <sz val="12"/>
        <color theme="1"/>
        <rFont val="Arial"/>
        <family val="2"/>
      </rPr>
      <t>)</t>
    </r>
  </si>
  <si>
    <t>3.5-3.7</t>
  </si>
  <si>
    <t>HW2</t>
  </si>
  <si>
    <r>
      <t>HW3 (</t>
    </r>
    <r>
      <rPr>
        <i/>
        <sz val="12"/>
        <rFont val="Arial"/>
        <family val="2"/>
      </rPr>
      <t>Twist Theory</t>
    </r>
    <r>
      <rPr>
        <sz val="12"/>
        <rFont val="Arial"/>
        <family val="2"/>
      </rPr>
      <t xml:space="preserve">) </t>
    </r>
  </si>
  <si>
    <r>
      <rPr>
        <sz val="12"/>
        <rFont val="Arial"/>
        <family val="2"/>
      </rPr>
      <t>Q2 (</t>
    </r>
    <r>
      <rPr>
        <i/>
        <sz val="12"/>
        <rFont val="Arial"/>
        <family val="2"/>
      </rPr>
      <t>Rotation Matrices</t>
    </r>
    <r>
      <rPr>
        <sz val="12"/>
        <rFont val="Arial"/>
        <family val="2"/>
      </rPr>
      <t>)</t>
    </r>
  </si>
  <si>
    <r>
      <rPr>
        <sz val="12"/>
        <color theme="1"/>
        <rFont val="Arial"/>
        <family val="2"/>
      </rPr>
      <t>Q7</t>
    </r>
    <r>
      <rPr>
        <i/>
        <sz val="12"/>
        <color theme="1"/>
        <rFont val="Arial"/>
        <family val="2"/>
      </rPr>
      <t xml:space="preserve"> (Trajectory Planning)</t>
    </r>
  </si>
  <si>
    <r>
      <rPr>
        <sz val="12"/>
        <rFont val="Arial"/>
        <family val="2"/>
      </rPr>
      <t>HW7</t>
    </r>
    <r>
      <rPr>
        <i/>
        <sz val="12"/>
        <rFont val="Arial"/>
        <family val="2"/>
      </rPr>
      <t xml:space="preserve"> (Velocity Kinematics)</t>
    </r>
  </si>
  <si>
    <t xml:space="preserve">L18: Spatial Kinematics and Jacobian recap </t>
  </si>
  <si>
    <t xml:space="preserve">L19: Manipulator Acceleration &amp; Algorithms </t>
  </si>
  <si>
    <t>7.1-8.3</t>
  </si>
  <si>
    <t>L20: Manipulator singularities</t>
  </si>
  <si>
    <r>
      <t>5.3-5.4 (</t>
    </r>
    <r>
      <rPr>
        <i/>
        <sz val="12"/>
        <color theme="1"/>
        <rFont val="Arial"/>
        <family val="2"/>
      </rPr>
      <t>Lynch et al.</t>
    </r>
    <r>
      <rPr>
        <sz val="12"/>
        <color theme="1"/>
        <rFont val="Arial"/>
        <family val="2"/>
      </rPr>
      <t>)</t>
    </r>
  </si>
  <si>
    <r>
      <t>8.5-8.6 &amp; 6.2 (</t>
    </r>
    <r>
      <rPr>
        <i/>
        <sz val="12"/>
        <color theme="1"/>
        <rFont val="Arial"/>
        <family val="2"/>
      </rPr>
      <t>Lynch et al.</t>
    </r>
    <r>
      <rPr>
        <sz val="12"/>
        <color theme="1"/>
        <rFont val="Arial"/>
        <family val="2"/>
      </rPr>
      <t>)</t>
    </r>
  </si>
  <si>
    <r>
      <t>Q9 (</t>
    </r>
    <r>
      <rPr>
        <i/>
        <sz val="12"/>
        <color theme="1"/>
        <rFont val="Arial"/>
        <family val="2"/>
      </rPr>
      <t>Velocity Jacobian</t>
    </r>
    <r>
      <rPr>
        <sz val="12"/>
        <color theme="1"/>
        <rFont val="Arial"/>
        <family val="2"/>
      </rPr>
      <t xml:space="preserve">) </t>
    </r>
  </si>
  <si>
    <r>
      <rPr>
        <sz val="12"/>
        <rFont val="Arial"/>
        <family val="2"/>
      </rPr>
      <t>10.6 &amp; 8.3, 8.6</t>
    </r>
    <r>
      <rPr>
        <i/>
        <sz val="12"/>
        <rFont val="Arial"/>
        <family val="2"/>
      </rPr>
      <t xml:space="preserve"> </t>
    </r>
    <r>
      <rPr>
        <sz val="12"/>
        <rFont val="Arial"/>
        <family val="2"/>
      </rPr>
      <t>(</t>
    </r>
    <r>
      <rPr>
        <i/>
        <sz val="12"/>
        <rFont val="Arial"/>
        <family val="2"/>
      </rPr>
      <t>Lynch et al.</t>
    </r>
    <r>
      <rPr>
        <sz val="12"/>
        <rFont val="Arial"/>
        <family val="2"/>
      </rPr>
      <t>)</t>
    </r>
  </si>
  <si>
    <t>L21: Numerical Inverse Kinematics &amp; Rotation Error</t>
  </si>
  <si>
    <t>L22: Statics &amp; Newton-Euler Dynamics</t>
  </si>
  <si>
    <t>9.1-9.7
10.1-10.3 &amp; 8.2.1 (Lynch et al.)</t>
  </si>
  <si>
    <t xml:space="preserve">L23: Manipulator Dynamics  </t>
  </si>
  <si>
    <t>L24: Recursive Newton-Euler Inverse Dynamics</t>
  </si>
  <si>
    <t>L25: Feedback Control</t>
  </si>
  <si>
    <t>L26: Stability and PD Control</t>
  </si>
  <si>
    <t>L17: Velocity Jacobian</t>
  </si>
  <si>
    <t>Fall 2026 - Schedule*</t>
  </si>
  <si>
    <r>
      <t>Q10 (</t>
    </r>
    <r>
      <rPr>
        <i/>
        <sz val="12"/>
        <color theme="1"/>
        <rFont val="Arial"/>
        <family val="2"/>
      </rPr>
      <t>Dynamics</t>
    </r>
    <r>
      <rPr>
        <sz val="12"/>
        <color theme="1"/>
        <rFont val="Arial"/>
        <family val="2"/>
      </rPr>
      <t xml:space="preserve">) </t>
    </r>
  </si>
  <si>
    <t>L16: Workspaces and Velocity Kinematics</t>
  </si>
  <si>
    <t>L15: Spatial Kinematic Velocity &amp; Acceleration</t>
  </si>
  <si>
    <t>L27: Linear Quadratic Regulator - Remote (Conference)</t>
  </si>
  <si>
    <t>L7: Angular Velocity &amp; Screw/Twist Theory - Remote (Career Day)</t>
  </si>
  <si>
    <t xml:space="preserve">L11: Inverse Kinematics II </t>
  </si>
  <si>
    <t>L12: Constrained Optimization for Degeneracies</t>
  </si>
  <si>
    <t xml:space="preserve">No class - Fall break </t>
  </si>
  <si>
    <t>HW6</t>
  </si>
  <si>
    <t>Midterm - Kinematics (Chapter 3, 4, 5, and 6) - In-Class</t>
  </si>
  <si>
    <r>
      <rPr>
        <sz val="12"/>
        <color theme="1"/>
        <rFont val="Arial"/>
        <family val="2"/>
      </rPr>
      <t>Q3</t>
    </r>
    <r>
      <rPr>
        <i/>
        <sz val="12"/>
        <color theme="1"/>
        <rFont val="Arial"/>
        <family val="2"/>
      </rPr>
      <t xml:space="preserve"> (Quaternions &amp; Angle-Axis)</t>
    </r>
  </si>
  <si>
    <r>
      <rPr>
        <sz val="12"/>
        <color theme="1"/>
        <rFont val="Arial"/>
        <family val="2"/>
      </rPr>
      <t>Q4</t>
    </r>
    <r>
      <rPr>
        <i/>
        <sz val="12"/>
        <color theme="1"/>
        <rFont val="Arial"/>
        <family val="2"/>
      </rPr>
      <t xml:space="preserve"> (Twist Theory)</t>
    </r>
  </si>
  <si>
    <r>
      <rPr>
        <sz val="12"/>
        <color theme="1"/>
        <rFont val="Arial"/>
        <family val="2"/>
      </rPr>
      <t>Q6</t>
    </r>
    <r>
      <rPr>
        <i/>
        <sz val="12"/>
        <color theme="1"/>
        <rFont val="Arial"/>
        <family val="2"/>
      </rPr>
      <t xml:space="preserve"> (Inverse Kinematics)</t>
    </r>
  </si>
  <si>
    <r>
      <rPr>
        <sz val="12"/>
        <rFont val="Arial"/>
        <family val="2"/>
      </rPr>
      <t>Q8</t>
    </r>
    <r>
      <rPr>
        <i/>
        <sz val="12"/>
        <rFont val="Arial"/>
        <family val="2"/>
      </rPr>
      <t xml:space="preserve"> (Velocity Kinematics)</t>
    </r>
  </si>
  <si>
    <r>
      <t>HW9 (</t>
    </r>
    <r>
      <rPr>
        <i/>
        <sz val="12"/>
        <rFont val="Arial"/>
        <family val="2"/>
      </rPr>
      <t>Dynamics</t>
    </r>
    <r>
      <rPr>
        <sz val="12"/>
        <rFont val="Arial"/>
        <family val="2"/>
      </rPr>
      <t>)</t>
    </r>
  </si>
  <si>
    <t>HW10</t>
  </si>
  <si>
    <r>
      <t>HW10 (</t>
    </r>
    <r>
      <rPr>
        <i/>
        <sz val="12"/>
        <color theme="1"/>
        <rFont val="Arial"/>
        <family val="2"/>
      </rPr>
      <t>Control</t>
    </r>
    <r>
      <rPr>
        <sz val="12"/>
        <color theme="1"/>
        <rFont val="Arial"/>
        <family val="2"/>
      </rPr>
      <t>)</t>
    </r>
  </si>
  <si>
    <r>
      <t>HW8 (</t>
    </r>
    <r>
      <rPr>
        <i/>
        <sz val="12"/>
        <rFont val="Arial"/>
        <family val="2"/>
      </rPr>
      <t>Velocity Jacobian</t>
    </r>
    <r>
      <rPr>
        <sz val="12"/>
        <rFont val="Arial"/>
        <family val="2"/>
      </rPr>
      <t>)</t>
    </r>
  </si>
  <si>
    <r>
      <t>HW6 (</t>
    </r>
    <r>
      <rPr>
        <i/>
        <sz val="12"/>
        <rFont val="Arial"/>
        <family val="2"/>
      </rPr>
      <t>Trajectory Planning</t>
    </r>
    <r>
      <rPr>
        <sz val="12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</si>
</sst>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,\ mmm\ d\,\ yyyy"/>
  </numFmts>
  <fonts count="15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i/>
      <sz val="12"/>
      <name val="Arial"/>
      <family val="2"/>
    </font>
    <font>
      <sz val="12"/>
      <color rgb="FF000000"/>
      <name val="Arial"/>
      <family val="2"/>
    </font>
    <font>
      <i/>
      <sz val="12"/>
      <color theme="1"/>
      <name val="Arial"/>
      <family val="2"/>
    </font>
    <font>
      <b/>
      <i/>
      <sz val="12"/>
      <name val="Arial"/>
      <family val="2"/>
    </font>
    <font>
      <i/>
      <sz val="12"/>
      <color rgb="FF000000"/>
      <name val="Arial"/>
      <family val="2"/>
    </font>
    <font>
      <b/>
      <sz val="12"/>
      <color theme="9" tint="-0.249977111117893"/>
      <name val="Arial"/>
      <family val="2"/>
    </font>
    <font>
      <b/>
      <i/>
      <sz val="12"/>
      <color rgb="FFC00000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  <font>
      <b/>
      <i/>
      <sz val="12"/>
      <color theme="4"/>
      <name val="Arial"/>
      <family val="2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170">
    <xf numFmtId="0" fontId="0" fillId="0" borderId="0" xfId="0"/>
    <xf numFmtId="164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2" fillId="0" borderId="6" xfId="0" applyNumberFormat="1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center" vertical="center"/>
    </xf>
    <xf numFmtId="164" fontId="4" fillId="3" borderId="6" xfId="0" applyNumberFormat="1" applyFont="1" applyFill="1" applyBorder="1" applyAlignment="1">
      <alignment horizontal="center"/>
    </xf>
    <xf numFmtId="0" fontId="4" fillId="3" borderId="8" xfId="0" applyFont="1" applyFill="1" applyBorder="1" applyAlignment="1">
      <alignment horizontal="left"/>
    </xf>
    <xf numFmtId="0" fontId="4" fillId="3" borderId="8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164" fontId="2" fillId="0" borderId="5" xfId="0" applyNumberFormat="1" applyFont="1" applyBorder="1" applyAlignment="1">
      <alignment horizontal="center"/>
    </xf>
    <xf numFmtId="164" fontId="4" fillId="3" borderId="8" xfId="0" applyNumberFormat="1" applyFont="1" applyFill="1" applyBorder="1" applyAlignment="1">
      <alignment horizontal="center"/>
    </xf>
    <xf numFmtId="0" fontId="4" fillId="3" borderId="12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3" borderId="9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3" borderId="1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64" fontId="2" fillId="4" borderId="5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left"/>
    </xf>
    <xf numFmtId="164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10" fillId="3" borderId="8" xfId="0" applyFont="1" applyFill="1" applyBorder="1" applyAlignment="1">
      <alignment horizontal="left"/>
    </xf>
    <xf numFmtId="164" fontId="10" fillId="3" borderId="8" xfId="0" applyNumberFormat="1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7" fillId="0" borderId="0" xfId="0" applyFont="1"/>
    <xf numFmtId="0" fontId="1" fillId="2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164" fontId="2" fillId="4" borderId="8" xfId="0" applyNumberFormat="1" applyFont="1" applyFill="1" applyBorder="1" applyAlignment="1">
      <alignment horizontal="center"/>
    </xf>
    <xf numFmtId="0" fontId="4" fillId="4" borderId="8" xfId="0" applyFont="1" applyFill="1" applyBorder="1" applyAlignment="1">
      <alignment horizontal="left"/>
    </xf>
    <xf numFmtId="0" fontId="4" fillId="4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left"/>
    </xf>
    <xf numFmtId="2" fontId="2" fillId="0" borderId="0" xfId="0" applyNumberFormat="1" applyFont="1" applyAlignment="1">
      <alignment horizontal="center" vertical="center"/>
    </xf>
    <xf numFmtId="164" fontId="10" fillId="3" borderId="1" xfId="0" applyNumberFormat="1" applyFont="1" applyFill="1" applyBorder="1" applyAlignment="1">
      <alignment horizontal="center"/>
    </xf>
    <xf numFmtId="0" fontId="10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164" fontId="2" fillId="3" borderId="6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left"/>
    </xf>
    <xf numFmtId="2" fontId="2" fillId="3" borderId="0" xfId="0" applyNumberFormat="1" applyFont="1" applyFill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164" fontId="4" fillId="3" borderId="5" xfId="0" applyNumberFormat="1" applyFont="1" applyFill="1" applyBorder="1" applyAlignment="1">
      <alignment horizontal="center"/>
    </xf>
    <xf numFmtId="0" fontId="4" fillId="3" borderId="6" xfId="0" applyFont="1" applyFill="1" applyBorder="1" applyAlignment="1">
      <alignment horizontal="left"/>
    </xf>
    <xf numFmtId="0" fontId="10" fillId="3" borderId="5" xfId="0" applyFont="1" applyFill="1" applyBorder="1" applyAlignment="1">
      <alignment horizontal="left"/>
    </xf>
    <xf numFmtId="164" fontId="10" fillId="3" borderId="5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3" fillId="0" borderId="6" xfId="0" applyFont="1" applyBorder="1"/>
    <xf numFmtId="0" fontId="8" fillId="0" borderId="5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64" fontId="2" fillId="3" borderId="8" xfId="0" applyNumberFormat="1" applyFont="1" applyFill="1" applyBorder="1" applyAlignment="1">
      <alignment horizontal="center"/>
    </xf>
    <xf numFmtId="0" fontId="10" fillId="3" borderId="1" xfId="0" applyFont="1" applyFill="1" applyBorder="1" applyAlignment="1">
      <alignment vertical="center"/>
    </xf>
    <xf numFmtId="0" fontId="10" fillId="3" borderId="6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0" fillId="3" borderId="0" xfId="0" applyFont="1" applyFill="1" applyAlignment="1">
      <alignment horizontal="left"/>
    </xf>
    <xf numFmtId="164" fontId="13" fillId="0" borderId="8" xfId="0" applyNumberFormat="1" applyFont="1" applyBorder="1" applyAlignment="1">
      <alignment horizontal="center"/>
    </xf>
    <xf numFmtId="0" fontId="13" fillId="0" borderId="10" xfId="0" applyFont="1" applyBorder="1" applyAlignment="1">
      <alignment horizontal="left"/>
    </xf>
    <xf numFmtId="164" fontId="13" fillId="3" borderId="1" xfId="0" applyNumberFormat="1" applyFont="1" applyFill="1" applyBorder="1" applyAlignment="1">
      <alignment horizontal="center"/>
    </xf>
    <xf numFmtId="0" fontId="13" fillId="3" borderId="2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164" fontId="13" fillId="3" borderId="5" xfId="0" applyNumberFormat="1" applyFont="1" applyFill="1" applyBorder="1" applyAlignment="1">
      <alignment horizontal="center"/>
    </xf>
    <xf numFmtId="0" fontId="13" fillId="3" borderId="5" xfId="0" applyFont="1" applyFill="1" applyBorder="1" applyAlignment="1">
      <alignment vertical="center"/>
    </xf>
    <xf numFmtId="164" fontId="2" fillId="6" borderId="5" xfId="0" applyNumberFormat="1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left"/>
    </xf>
    <xf numFmtId="0" fontId="6" fillId="4" borderId="6" xfId="0" applyFont="1" applyFill="1" applyBorder="1" applyAlignment="1">
      <alignment horizontal="left"/>
    </xf>
    <xf numFmtId="0" fontId="3" fillId="4" borderId="6" xfId="0" applyFont="1" applyFill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0" fontId="14" fillId="0" borderId="5" xfId="0" applyFont="1" applyBorder="1"/>
    <xf numFmtId="0" fontId="3" fillId="0" borderId="5" xfId="0" applyFont="1" applyBorder="1"/>
    <xf numFmtId="0" fontId="3" fillId="3" borderId="5" xfId="0" applyFont="1" applyFill="1" applyBorder="1"/>
    <xf numFmtId="0" fontId="3" fillId="3" borderId="1" xfId="0" applyFont="1" applyFill="1" applyBorder="1"/>
    <xf numFmtId="0" fontId="3" fillId="3" borderId="8" xfId="0" applyFont="1" applyFill="1" applyBorder="1"/>
    <xf numFmtId="0" fontId="3" fillId="3" borderId="12" xfId="0" applyFont="1" applyFill="1" applyBorder="1"/>
    <xf numFmtId="0" fontId="3" fillId="3" borderId="6" xfId="0" applyFont="1" applyFill="1" applyBorder="1"/>
    <xf numFmtId="0" fontId="3" fillId="3" borderId="7" xfId="0" applyFont="1" applyFill="1" applyBorder="1"/>
    <xf numFmtId="0" fontId="3" fillId="3" borderId="10" xfId="0" applyFont="1" applyFill="1" applyBorder="1"/>
    <xf numFmtId="2" fontId="3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164" fontId="2" fillId="3" borderId="5" xfId="0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center" vertical="center"/>
    </xf>
    <xf numFmtId="164" fontId="2" fillId="6" borderId="5" xfId="0" applyNumberFormat="1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left" wrapText="1"/>
    </xf>
    <xf numFmtId="0" fontId="2" fillId="6" borderId="6" xfId="0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1" fillId="5" borderId="4" xfId="0" applyFont="1" applyFill="1" applyBorder="1" applyAlignment="1">
      <alignment horizontal="left"/>
    </xf>
    <xf numFmtId="0" fontId="1" fillId="5" borderId="6" xfId="0" applyFont="1" applyFill="1" applyBorder="1" applyAlignment="1">
      <alignment horizontal="left"/>
    </xf>
    <xf numFmtId="0" fontId="1" fillId="5" borderId="0" xfId="0" applyFont="1" applyFill="1" applyAlignment="1">
      <alignment horizontal="left"/>
    </xf>
    <xf numFmtId="0" fontId="1" fillId="5" borderId="7" xfId="0" applyFont="1" applyFill="1" applyBorder="1" applyAlignment="1">
      <alignment horizontal="left"/>
    </xf>
    <xf numFmtId="0" fontId="11" fillId="5" borderId="12" xfId="0" applyFont="1" applyFill="1" applyBorder="1" applyAlignment="1">
      <alignment horizontal="left"/>
    </xf>
    <xf numFmtId="0" fontId="11" fillId="5" borderId="9" xfId="0" applyFont="1" applyFill="1" applyBorder="1" applyAlignment="1">
      <alignment horizontal="left"/>
    </xf>
    <xf numFmtId="0" fontId="11" fillId="5" borderId="10" xfId="0" applyFont="1" applyFill="1" applyBorder="1" applyAlignment="1">
      <alignment horizontal="left"/>
    </xf>
    <xf numFmtId="0" fontId="6" fillId="0" borderId="0" xfId="0" applyFont="1" applyAlignment="1">
      <alignment horizontal="left" wrapText="1"/>
    </xf>
    <xf numFmtId="0" fontId="2" fillId="0" borderId="11" xfId="0" applyFont="1" applyBorder="1" applyAlignment="1">
      <alignment horizontal="center" vertical="center"/>
    </xf>
    <xf numFmtId="164" fontId="2" fillId="0" borderId="5" xfId="0" applyNumberFormat="1" applyFont="1" applyFill="1" applyBorder="1" applyAlignment="1">
      <alignment horizontal="center"/>
    </xf>
    <xf numFmtId="0" fontId="2" fillId="0" borderId="5" xfId="0" applyFont="1" applyFill="1" applyBorder="1" applyAlignment="1">
      <alignment horizontal="left"/>
    </xf>
    <xf numFmtId="0" fontId="5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/>
    </xf>
    <xf numFmtId="0" fontId="3" fillId="0" borderId="5" xfId="0" applyFont="1" applyFill="1" applyBorder="1"/>
    <xf numFmtId="0" fontId="3" fillId="0" borderId="5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/>
    </xf>
    <xf numFmtId="0" fontId="3" fillId="3" borderId="2" xfId="0" applyFont="1" applyFill="1" applyBorder="1"/>
    <xf numFmtId="0" fontId="4" fillId="0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D1C07-F32E-4B2B-8C61-D5D34DB25700}">
  <sheetPr>
    <pageSetUpPr fitToPage="1"/>
  </sheetPr>
  <dimension ref="A1:G72"/>
  <sheetViews>
    <sheetView tabSelected="1" view="pageLayout" topLeftCell="A14" zoomScale="70" zoomScaleNormal="100" zoomScalePageLayoutView="70" workbookViewId="0">
      <selection activeCell="J32" sqref="J32"/>
    </sheetView>
  </sheetViews>
  <sheetFormatPr defaultRowHeight="14.4" x14ac:dyDescent="0.55000000000000004"/>
  <cols>
    <col min="1" max="1" width="6.3671875" customWidth="1"/>
    <col min="2" max="2" width="20.3125" bestFit="1" customWidth="1"/>
    <col min="3" max="3" width="68.734375" bestFit="1" customWidth="1"/>
    <col min="4" max="4" width="32.734375" customWidth="1"/>
    <col min="5" max="5" width="31.3671875" bestFit="1" customWidth="1"/>
    <col min="6" max="6" width="38.62890625" customWidth="1"/>
    <col min="7" max="7" width="9" bestFit="1" customWidth="1"/>
  </cols>
  <sheetData>
    <row r="1" spans="1:7" ht="15.3" x14ac:dyDescent="0.55000000000000004">
      <c r="A1" s="141" t="s">
        <v>39</v>
      </c>
      <c r="B1" s="142"/>
      <c r="C1" s="142"/>
      <c r="D1" s="142"/>
      <c r="E1" s="142"/>
      <c r="F1" s="142"/>
      <c r="G1" s="143"/>
    </row>
    <row r="2" spans="1:7" ht="15" customHeight="1" x14ac:dyDescent="0.55000000000000004">
      <c r="A2" s="144" t="s">
        <v>82</v>
      </c>
      <c r="B2" s="145"/>
      <c r="C2" s="145"/>
      <c r="D2" s="145"/>
      <c r="E2" s="145"/>
      <c r="F2" s="145"/>
      <c r="G2" s="146"/>
    </row>
    <row r="3" spans="1:7" ht="14.7" thickBot="1" x14ac:dyDescent="0.6">
      <c r="A3" s="147" t="s">
        <v>17</v>
      </c>
      <c r="B3" s="148"/>
      <c r="C3" s="148"/>
      <c r="D3" s="148"/>
      <c r="E3" s="148"/>
      <c r="F3" s="148"/>
      <c r="G3" s="149"/>
    </row>
    <row r="4" spans="1:7" ht="15.3" thickBot="1" x14ac:dyDescent="0.6">
      <c r="A4" s="54" t="s">
        <v>0</v>
      </c>
      <c r="B4" s="55" t="s">
        <v>48</v>
      </c>
      <c r="C4" s="56" t="s">
        <v>49</v>
      </c>
      <c r="D4" s="54" t="s">
        <v>6</v>
      </c>
      <c r="E4" s="54" t="s">
        <v>5</v>
      </c>
      <c r="F4" s="54" t="s">
        <v>3</v>
      </c>
      <c r="G4" s="54" t="s">
        <v>1</v>
      </c>
    </row>
    <row r="5" spans="1:7" ht="15.3" x14ac:dyDescent="0.55000000000000004">
      <c r="A5" s="138">
        <v>1</v>
      </c>
      <c r="B5" s="1">
        <v>46259</v>
      </c>
      <c r="C5" s="2" t="s">
        <v>21</v>
      </c>
      <c r="D5" s="16" t="s">
        <v>20</v>
      </c>
      <c r="E5" s="17"/>
      <c r="F5" s="18"/>
      <c r="G5" s="17"/>
    </row>
    <row r="6" spans="1:7" ht="15.3" x14ac:dyDescent="0.55000000000000004">
      <c r="A6" s="139"/>
      <c r="B6" s="3">
        <f>B5+2</f>
        <v>46261</v>
      </c>
      <c r="C6" s="4" t="s">
        <v>56</v>
      </c>
      <c r="D6" s="31" t="s">
        <v>22</v>
      </c>
      <c r="E6" s="19" t="s">
        <v>10</v>
      </c>
      <c r="F6" s="20"/>
      <c r="G6" s="19"/>
    </row>
    <row r="7" spans="1:7" ht="15.6" thickBot="1" x14ac:dyDescent="0.6">
      <c r="A7" s="139"/>
      <c r="B7" s="6" t="s">
        <v>2</v>
      </c>
      <c r="C7" s="66" t="s">
        <v>2</v>
      </c>
      <c r="D7" s="32"/>
      <c r="E7" s="13"/>
      <c r="F7" s="14"/>
      <c r="G7" s="13"/>
    </row>
    <row r="8" spans="1:7" ht="15.3" x14ac:dyDescent="0.55000000000000004">
      <c r="A8" s="138">
        <v>2</v>
      </c>
      <c r="B8" s="1">
        <f>B5+7</f>
        <v>46266</v>
      </c>
      <c r="C8" s="2" t="s">
        <v>57</v>
      </c>
      <c r="D8" s="16" t="s">
        <v>58</v>
      </c>
      <c r="E8" s="26"/>
      <c r="F8" s="27" t="s">
        <v>24</v>
      </c>
      <c r="G8" s="36"/>
    </row>
    <row r="9" spans="1:7" ht="15.6" x14ac:dyDescent="0.6">
      <c r="A9" s="139"/>
      <c r="B9" s="3">
        <f>B8+2</f>
        <v>46268</v>
      </c>
      <c r="C9" s="9" t="s">
        <v>55</v>
      </c>
      <c r="D9" s="67" t="s">
        <v>23</v>
      </c>
      <c r="E9" s="118"/>
      <c r="F9" s="24"/>
      <c r="G9" s="119"/>
    </row>
    <row r="10" spans="1:7" ht="15.6" thickBot="1" x14ac:dyDescent="0.6">
      <c r="A10" s="140"/>
      <c r="B10" s="73"/>
      <c r="C10" s="74"/>
      <c r="D10" s="75"/>
      <c r="E10" s="104"/>
      <c r="F10" s="65"/>
      <c r="G10" s="76"/>
    </row>
    <row r="11" spans="1:7" ht="15.3" x14ac:dyDescent="0.55000000000000004">
      <c r="A11" s="138">
        <v>3</v>
      </c>
      <c r="B11" s="78">
        <f>B9+4</f>
        <v>46272</v>
      </c>
      <c r="C11" s="69"/>
      <c r="D11" s="70"/>
      <c r="E11" s="70"/>
      <c r="F11" s="71"/>
      <c r="G11" s="72" t="s">
        <v>51</v>
      </c>
    </row>
    <row r="12" spans="1:7" ht="15.3" x14ac:dyDescent="0.55000000000000004">
      <c r="A12" s="139"/>
      <c r="B12" s="10">
        <f>B8+7</f>
        <v>46273</v>
      </c>
      <c r="C12" s="9" t="s">
        <v>52</v>
      </c>
      <c r="D12" s="5" t="s">
        <v>60</v>
      </c>
      <c r="E12" s="22"/>
      <c r="F12" s="24" t="s">
        <v>25</v>
      </c>
      <c r="G12" s="5"/>
    </row>
    <row r="13" spans="1:7" ht="15.3" x14ac:dyDescent="0.55000000000000004">
      <c r="A13" s="139"/>
      <c r="B13" s="10">
        <f>B12+2</f>
        <v>46275</v>
      </c>
      <c r="C13" s="9" t="s">
        <v>53</v>
      </c>
      <c r="D13" s="5" t="s">
        <v>59</v>
      </c>
      <c r="E13" s="22" t="s">
        <v>63</v>
      </c>
      <c r="F13" s="46"/>
      <c r="G13" s="51"/>
    </row>
    <row r="14" spans="1:7" ht="15.6" thickBot="1" x14ac:dyDescent="0.6">
      <c r="A14" s="29"/>
      <c r="B14" s="131"/>
      <c r="C14" s="133"/>
      <c r="D14" s="134"/>
      <c r="E14" s="13"/>
      <c r="F14" s="94"/>
      <c r="G14" s="76"/>
    </row>
    <row r="15" spans="1:7" ht="15.3" x14ac:dyDescent="0.55000000000000004">
      <c r="A15" s="138">
        <v>4</v>
      </c>
      <c r="B15" s="68">
        <f>B13+4</f>
        <v>46279</v>
      </c>
      <c r="C15" s="105" t="s">
        <v>40</v>
      </c>
      <c r="D15" s="70"/>
      <c r="E15" s="70"/>
      <c r="F15" s="82"/>
      <c r="G15" s="72"/>
    </row>
    <row r="16" spans="1:7" ht="15.3" x14ac:dyDescent="0.55000000000000004">
      <c r="A16" s="139"/>
      <c r="B16" s="109">
        <f>B12+7</f>
        <v>46280</v>
      </c>
      <c r="C16" s="137" t="s">
        <v>87</v>
      </c>
      <c r="D16" s="112" t="s">
        <v>54</v>
      </c>
      <c r="E16" s="111"/>
      <c r="F16" s="113"/>
      <c r="G16" s="110"/>
    </row>
    <row r="17" spans="1:7" ht="15.3" x14ac:dyDescent="0.55000000000000004">
      <c r="A17" s="139"/>
      <c r="B17" s="10">
        <f>B16+2</f>
        <v>46282</v>
      </c>
      <c r="C17" s="37" t="s">
        <v>38</v>
      </c>
      <c r="D17" s="81" t="s">
        <v>27</v>
      </c>
      <c r="E17" s="22"/>
      <c r="F17" s="46" t="s">
        <v>62</v>
      </c>
      <c r="G17" s="29" t="s">
        <v>61</v>
      </c>
    </row>
    <row r="18" spans="1:7" ht="15.6" thickBot="1" x14ac:dyDescent="0.6">
      <c r="A18" s="140"/>
      <c r="B18" s="11"/>
      <c r="C18" s="12"/>
      <c r="D18" s="13"/>
      <c r="E18" s="13"/>
      <c r="F18" s="120"/>
      <c r="G18" s="52"/>
    </row>
    <row r="19" spans="1:7" ht="15.3" x14ac:dyDescent="0.55000000000000004">
      <c r="A19" s="138">
        <v>5</v>
      </c>
      <c r="B19" s="101">
        <f>B17+4</f>
        <v>46286</v>
      </c>
      <c r="C19" s="102" t="s">
        <v>45</v>
      </c>
      <c r="D19" s="70"/>
      <c r="E19" s="70"/>
      <c r="F19" s="121"/>
      <c r="G19" s="72"/>
    </row>
    <row r="20" spans="1:7" ht="15.3" x14ac:dyDescent="0.55000000000000004">
      <c r="A20" s="139"/>
      <c r="B20" s="10">
        <f>B16+7</f>
        <v>46287</v>
      </c>
      <c r="C20" s="37" t="s">
        <v>28</v>
      </c>
      <c r="D20" s="5" t="s">
        <v>7</v>
      </c>
      <c r="E20" s="89"/>
      <c r="F20" s="46" t="s">
        <v>13</v>
      </c>
      <c r="G20" s="81" t="s">
        <v>11</v>
      </c>
    </row>
    <row r="21" spans="1:7" ht="15.3" x14ac:dyDescent="0.55000000000000004">
      <c r="A21" s="139"/>
      <c r="B21" s="10">
        <f>B20+2</f>
        <v>46289</v>
      </c>
      <c r="C21" s="88" t="s">
        <v>29</v>
      </c>
      <c r="D21" s="5" t="s">
        <v>8</v>
      </c>
      <c r="E21" s="19" t="s">
        <v>93</v>
      </c>
      <c r="F21" s="46"/>
      <c r="G21" s="19"/>
    </row>
    <row r="22" spans="1:7" ht="15.6" thickBot="1" x14ac:dyDescent="0.6">
      <c r="A22" s="139"/>
      <c r="B22" s="83" t="s">
        <v>2</v>
      </c>
      <c r="C22" s="84"/>
      <c r="D22" s="13"/>
      <c r="E22" s="13"/>
      <c r="F22" s="120"/>
      <c r="G22" s="13"/>
    </row>
    <row r="23" spans="1:7" ht="15.3" x14ac:dyDescent="0.55000000000000004">
      <c r="A23" s="138">
        <v>6</v>
      </c>
      <c r="B23" s="78">
        <f>B21+4</f>
        <v>46293</v>
      </c>
      <c r="C23" s="87"/>
      <c r="D23" s="70"/>
      <c r="E23" s="70"/>
      <c r="F23" s="121"/>
      <c r="G23" s="72" t="s">
        <v>12</v>
      </c>
    </row>
    <row r="24" spans="1:7" ht="15.3" x14ac:dyDescent="0.55000000000000004">
      <c r="A24" s="139"/>
      <c r="B24" s="152">
        <f>B20+7</f>
        <v>46294</v>
      </c>
      <c r="C24" s="153" t="s">
        <v>88</v>
      </c>
      <c r="D24" s="154" t="s">
        <v>30</v>
      </c>
      <c r="E24" s="155"/>
      <c r="F24" s="156" t="s">
        <v>14</v>
      </c>
      <c r="G24" s="157"/>
    </row>
    <row r="25" spans="1:7" ht="15.3" x14ac:dyDescent="0.55000000000000004">
      <c r="A25" s="139"/>
      <c r="B25" s="152">
        <f>B24+2</f>
        <v>46296</v>
      </c>
      <c r="C25" s="153" t="s">
        <v>89</v>
      </c>
      <c r="D25" s="157" t="s">
        <v>34</v>
      </c>
      <c r="E25" s="158" t="s">
        <v>94</v>
      </c>
      <c r="F25" s="158"/>
      <c r="G25" s="159"/>
    </row>
    <row r="26" spans="1:7" ht="15.6" thickBot="1" x14ac:dyDescent="0.6">
      <c r="A26" s="139"/>
      <c r="B26" s="86"/>
      <c r="C26" s="85"/>
      <c r="D26" s="13"/>
      <c r="E26" s="13"/>
      <c r="F26" s="65"/>
      <c r="G26" s="13"/>
    </row>
    <row r="27" spans="1:7" ht="15.3" x14ac:dyDescent="0.55000000000000004">
      <c r="A27" s="138">
        <v>7</v>
      </c>
      <c r="B27" s="78">
        <f>B25+4</f>
        <v>46300</v>
      </c>
      <c r="C27" s="69"/>
      <c r="D27" s="70"/>
      <c r="E27" s="70"/>
      <c r="F27" s="71"/>
      <c r="G27" s="72" t="s">
        <v>26</v>
      </c>
    </row>
    <row r="28" spans="1:7" ht="15.3" x14ac:dyDescent="0.55000000000000004">
      <c r="A28" s="139"/>
      <c r="B28" s="10">
        <f>B24+7</f>
        <v>46301</v>
      </c>
      <c r="C28" s="9" t="s">
        <v>33</v>
      </c>
      <c r="D28" s="5">
        <v>6.1</v>
      </c>
      <c r="E28" s="19" t="s">
        <v>9</v>
      </c>
      <c r="F28" s="23"/>
      <c r="G28" s="5"/>
    </row>
    <row r="29" spans="1:7" ht="15.3" x14ac:dyDescent="0.55000000000000004">
      <c r="A29" s="139"/>
      <c r="B29" s="10">
        <f>B28+2</f>
        <v>46303</v>
      </c>
      <c r="C29" s="9" t="s">
        <v>32</v>
      </c>
      <c r="D29" s="29" t="s">
        <v>31</v>
      </c>
      <c r="E29" s="19"/>
      <c r="F29" s="46" t="s">
        <v>101</v>
      </c>
      <c r="G29" s="5"/>
    </row>
    <row r="30" spans="1:7" ht="15.6" thickBot="1" x14ac:dyDescent="0.6">
      <c r="A30" s="140"/>
      <c r="B30" s="49"/>
      <c r="C30" s="48"/>
      <c r="D30" s="8"/>
      <c r="E30" s="8"/>
      <c r="F30" s="122"/>
      <c r="G30" s="8"/>
    </row>
    <row r="31" spans="1:7" ht="15.3" x14ac:dyDescent="0.55000000000000004">
      <c r="A31" s="138">
        <v>8</v>
      </c>
      <c r="B31" s="68">
        <f>B29+4</f>
        <v>46307</v>
      </c>
      <c r="C31" s="69" t="s">
        <v>41</v>
      </c>
      <c r="D31" s="70"/>
      <c r="E31" s="70"/>
      <c r="F31" s="121"/>
      <c r="G31" s="72"/>
    </row>
    <row r="32" spans="1:7" ht="15.3" x14ac:dyDescent="0.55000000000000004">
      <c r="A32" s="139"/>
      <c r="B32" s="28">
        <f>B28+7</f>
        <v>46308</v>
      </c>
      <c r="C32" s="165" t="s">
        <v>90</v>
      </c>
      <c r="D32" s="163"/>
      <c r="E32" s="164"/>
      <c r="F32" s="80"/>
      <c r="G32" s="163"/>
    </row>
    <row r="33" spans="1:7" ht="15.3" x14ac:dyDescent="0.55000000000000004">
      <c r="A33" s="139"/>
      <c r="B33" s="10">
        <f>B29+7</f>
        <v>46310</v>
      </c>
      <c r="C33" s="9" t="s">
        <v>85</v>
      </c>
      <c r="D33" s="29" t="s">
        <v>35</v>
      </c>
      <c r="E33" s="23" t="s">
        <v>95</v>
      </c>
      <c r="F33" s="46"/>
      <c r="G33" s="119"/>
    </row>
    <row r="34" spans="1:7" ht="15.6" thickBot="1" x14ac:dyDescent="0.6">
      <c r="A34" s="140"/>
      <c r="B34" s="91"/>
      <c r="C34" s="7" t="s">
        <v>2</v>
      </c>
      <c r="D34" s="8"/>
      <c r="E34" s="8" t="s">
        <v>2</v>
      </c>
      <c r="F34" s="120"/>
      <c r="G34" s="52"/>
    </row>
    <row r="35" spans="1:7" ht="15.3" x14ac:dyDescent="0.55000000000000004">
      <c r="A35" s="130"/>
      <c r="B35" s="131"/>
      <c r="C35" s="66"/>
      <c r="D35" s="13"/>
      <c r="E35" s="166"/>
      <c r="F35" s="168"/>
      <c r="G35" s="72" t="s">
        <v>91</v>
      </c>
    </row>
    <row r="36" spans="1:7" ht="15.3" x14ac:dyDescent="0.55000000000000004">
      <c r="A36" s="151">
        <v>9</v>
      </c>
      <c r="B36" s="152">
        <f>B32+7</f>
        <v>46315</v>
      </c>
      <c r="C36" s="160" t="s">
        <v>84</v>
      </c>
      <c r="D36" s="161">
        <v>8.1</v>
      </c>
      <c r="E36" s="162"/>
      <c r="F36" s="167"/>
      <c r="G36" s="169"/>
    </row>
    <row r="37" spans="1:7" ht="15.3" x14ac:dyDescent="0.55000000000000004">
      <c r="A37" s="151"/>
      <c r="B37" s="10">
        <f>B36+2</f>
        <v>46317</v>
      </c>
      <c r="C37" s="9" t="s">
        <v>81</v>
      </c>
      <c r="D37" s="29" t="s">
        <v>36</v>
      </c>
      <c r="E37" s="33" t="s">
        <v>64</v>
      </c>
      <c r="F37" s="132"/>
      <c r="G37" s="29"/>
    </row>
    <row r="38" spans="1:7" ht="15.6" thickBot="1" x14ac:dyDescent="0.6">
      <c r="A38" s="151"/>
      <c r="B38" s="86"/>
      <c r="C38" s="85"/>
      <c r="D38" s="13"/>
      <c r="E38" s="21"/>
      <c r="F38" s="123"/>
      <c r="G38" s="8"/>
    </row>
    <row r="39" spans="1:7" ht="15.3" x14ac:dyDescent="0.55000000000000004">
      <c r="A39" s="138">
        <v>10</v>
      </c>
      <c r="B39" s="101">
        <f>B40-1</f>
        <v>46321</v>
      </c>
      <c r="C39" s="114" t="s">
        <v>46</v>
      </c>
      <c r="D39" s="70"/>
      <c r="E39" s="32"/>
      <c r="F39" s="124"/>
      <c r="G39" s="13"/>
    </row>
    <row r="40" spans="1:7" ht="15.3" x14ac:dyDescent="0.55000000000000004">
      <c r="A40" s="139"/>
      <c r="B40" s="10">
        <f>B36+7</f>
        <v>46322</v>
      </c>
      <c r="C40" s="4" t="s">
        <v>18</v>
      </c>
      <c r="D40" s="5"/>
      <c r="E40" s="33"/>
      <c r="F40" s="23"/>
      <c r="G40" s="5"/>
    </row>
    <row r="41" spans="1:7" ht="15.3" x14ac:dyDescent="0.55000000000000004">
      <c r="A41" s="139"/>
      <c r="B41" s="10">
        <f>B40+2</f>
        <v>46324</v>
      </c>
      <c r="C41" s="4" t="s">
        <v>92</v>
      </c>
      <c r="D41" s="5"/>
      <c r="E41" s="106"/>
      <c r="F41" s="24" t="s">
        <v>65</v>
      </c>
      <c r="G41" s="51"/>
    </row>
    <row r="42" spans="1:7" ht="15.6" thickBot="1" x14ac:dyDescent="0.6">
      <c r="A42" s="140"/>
      <c r="B42" s="49"/>
      <c r="C42" s="48"/>
      <c r="D42" s="8"/>
      <c r="E42" s="32"/>
      <c r="F42" s="65"/>
      <c r="G42" s="52"/>
    </row>
    <row r="43" spans="1:7" ht="15.3" x14ac:dyDescent="0.55000000000000004">
      <c r="A43" s="139">
        <v>11</v>
      </c>
      <c r="B43" s="86"/>
      <c r="C43" s="85"/>
      <c r="D43" s="13"/>
      <c r="E43" s="70"/>
      <c r="F43" s="71"/>
      <c r="G43" s="72"/>
    </row>
    <row r="44" spans="1:7" ht="15.3" x14ac:dyDescent="0.55000000000000004">
      <c r="A44" s="139"/>
      <c r="B44" s="10">
        <f>B40+7</f>
        <v>46329</v>
      </c>
      <c r="C44" s="4" t="s">
        <v>66</v>
      </c>
      <c r="D44" s="5" t="s">
        <v>68</v>
      </c>
      <c r="E44" s="19"/>
      <c r="F44" s="51"/>
      <c r="G44" s="5"/>
    </row>
    <row r="45" spans="1:7" ht="15.3" x14ac:dyDescent="0.55000000000000004">
      <c r="A45" s="139"/>
      <c r="B45" s="10">
        <f>B44+2</f>
        <v>46331</v>
      </c>
      <c r="C45" s="9" t="s">
        <v>67</v>
      </c>
      <c r="D45" s="5">
        <v>8.4</v>
      </c>
      <c r="E45" s="5"/>
      <c r="F45" s="24"/>
      <c r="G45" s="5"/>
    </row>
    <row r="46" spans="1:7" ht="15.6" thickBot="1" x14ac:dyDescent="0.6">
      <c r="A46" s="139"/>
      <c r="B46" s="107"/>
      <c r="C46" s="108"/>
      <c r="D46" s="13"/>
      <c r="E46" s="13"/>
      <c r="F46" s="65"/>
      <c r="G46" s="52"/>
    </row>
    <row r="47" spans="1:7" ht="15.3" x14ac:dyDescent="0.55000000000000004">
      <c r="A47" s="138">
        <v>12</v>
      </c>
      <c r="B47" s="68">
        <f>B45+4</f>
        <v>46335</v>
      </c>
      <c r="C47" s="92" t="s">
        <v>42</v>
      </c>
      <c r="D47" s="70"/>
      <c r="E47" s="70"/>
      <c r="F47" s="71"/>
      <c r="G47" s="72"/>
    </row>
    <row r="48" spans="1:7" ht="15.3" x14ac:dyDescent="0.55000000000000004">
      <c r="A48" s="139"/>
      <c r="B48" s="10">
        <f>B44+7</f>
        <v>46336</v>
      </c>
      <c r="C48" s="4" t="s">
        <v>69</v>
      </c>
      <c r="D48" s="5" t="s">
        <v>70</v>
      </c>
      <c r="E48" s="19"/>
      <c r="F48" s="46" t="s">
        <v>100</v>
      </c>
      <c r="G48" s="5" t="s">
        <v>15</v>
      </c>
    </row>
    <row r="49" spans="1:7" ht="15.3" x14ac:dyDescent="0.55000000000000004">
      <c r="A49" s="139"/>
      <c r="B49" s="10">
        <f>B48+2</f>
        <v>46338</v>
      </c>
      <c r="C49" s="4" t="s">
        <v>74</v>
      </c>
      <c r="D49" s="5" t="s">
        <v>71</v>
      </c>
      <c r="E49" s="24" t="s">
        <v>96</v>
      </c>
      <c r="F49" s="46"/>
      <c r="G49" s="46"/>
    </row>
    <row r="50" spans="1:7" ht="15.6" thickBot="1" x14ac:dyDescent="0.6">
      <c r="A50" s="140"/>
      <c r="B50" s="49"/>
      <c r="C50" s="48"/>
      <c r="D50" s="8"/>
      <c r="E50" s="8"/>
      <c r="F50" s="122"/>
      <c r="G50" s="50"/>
    </row>
    <row r="51" spans="1:7" ht="15.3" x14ac:dyDescent="0.55000000000000004">
      <c r="A51" s="139">
        <v>13</v>
      </c>
      <c r="B51" s="131">
        <f>B49+4</f>
        <v>46342</v>
      </c>
      <c r="C51" s="85"/>
      <c r="D51" s="13"/>
      <c r="E51" s="70"/>
      <c r="F51" s="125"/>
      <c r="G51" s="52" t="s">
        <v>16</v>
      </c>
    </row>
    <row r="52" spans="1:7" ht="30" x14ac:dyDescent="0.55000000000000004">
      <c r="A52" s="139"/>
      <c r="B52" s="117">
        <f>B48+7</f>
        <v>46343</v>
      </c>
      <c r="C52" s="128" t="s">
        <v>75</v>
      </c>
      <c r="D52" s="127" t="s">
        <v>76</v>
      </c>
      <c r="E52" s="19"/>
      <c r="F52" s="79" t="s">
        <v>97</v>
      </c>
      <c r="G52" s="5"/>
    </row>
    <row r="53" spans="1:7" ht="15.3" x14ac:dyDescent="0.55000000000000004">
      <c r="A53" s="139"/>
      <c r="B53" s="10">
        <f>B52+2</f>
        <v>46345</v>
      </c>
      <c r="C53" s="4" t="s">
        <v>77</v>
      </c>
      <c r="D53" s="130" t="s">
        <v>37</v>
      </c>
      <c r="E53" s="5" t="s">
        <v>72</v>
      </c>
      <c r="F53" s="106"/>
      <c r="G53" s="119"/>
    </row>
    <row r="54" spans="1:7" ht="15.6" thickBot="1" x14ac:dyDescent="0.6">
      <c r="A54" s="140"/>
      <c r="B54" s="49"/>
      <c r="C54" s="48"/>
      <c r="D54" s="8"/>
      <c r="E54" s="8"/>
      <c r="F54" s="126"/>
      <c r="G54" s="50"/>
    </row>
    <row r="55" spans="1:7" ht="15.3" x14ac:dyDescent="0.55000000000000004">
      <c r="A55" s="138">
        <v>14</v>
      </c>
      <c r="B55" s="86">
        <f>B53+4</f>
        <v>46349</v>
      </c>
      <c r="C55" s="93" t="s">
        <v>43</v>
      </c>
      <c r="D55" s="70"/>
      <c r="E55" s="77"/>
      <c r="F55" s="120"/>
      <c r="G55" s="52"/>
    </row>
    <row r="56" spans="1:7" ht="15.3" x14ac:dyDescent="0.55000000000000004">
      <c r="A56" s="139"/>
      <c r="B56" s="10">
        <f>B53+5</f>
        <v>46350</v>
      </c>
      <c r="C56" s="15" t="s">
        <v>78</v>
      </c>
      <c r="D56" s="22" t="s">
        <v>73</v>
      </c>
      <c r="E56" s="47"/>
      <c r="F56" s="46"/>
      <c r="G56" s="5"/>
    </row>
    <row r="57" spans="1:7" ht="15.3" x14ac:dyDescent="0.55000000000000004">
      <c r="A57" s="139"/>
      <c r="B57" s="28">
        <f>B56+2</f>
        <v>46352</v>
      </c>
      <c r="C57" s="115" t="s">
        <v>50</v>
      </c>
      <c r="D57" s="103"/>
      <c r="E57" s="116"/>
      <c r="F57" s="80"/>
      <c r="G57" s="103"/>
    </row>
    <row r="58" spans="1:7" ht="15.6" thickBot="1" x14ac:dyDescent="0.6">
      <c r="A58" s="140"/>
      <c r="B58" s="86"/>
      <c r="C58" s="98"/>
      <c r="D58" s="8"/>
      <c r="E58" s="25" t="s">
        <v>2</v>
      </c>
      <c r="F58" s="120"/>
      <c r="G58" s="50"/>
    </row>
    <row r="59" spans="1:7" ht="15.3" x14ac:dyDescent="0.55000000000000004">
      <c r="A59" s="138">
        <v>15</v>
      </c>
      <c r="B59" s="78">
        <f>B57+4</f>
        <v>46356</v>
      </c>
      <c r="C59" s="69"/>
      <c r="D59" s="32"/>
      <c r="E59" s="77"/>
      <c r="F59" s="97"/>
      <c r="G59" s="90" t="s">
        <v>19</v>
      </c>
    </row>
    <row r="60" spans="1:7" ht="15.3" x14ac:dyDescent="0.55000000000000004">
      <c r="A60" s="139"/>
      <c r="B60" s="117">
        <f>B56+7</f>
        <v>46357</v>
      </c>
      <c r="C60" s="9" t="s">
        <v>79</v>
      </c>
      <c r="D60" s="35" t="s">
        <v>34</v>
      </c>
      <c r="E60" s="129"/>
      <c r="F60" s="51" t="s">
        <v>99</v>
      </c>
      <c r="G60" s="79"/>
    </row>
    <row r="61" spans="1:7" ht="15.3" x14ac:dyDescent="0.55000000000000004">
      <c r="A61" s="139"/>
      <c r="B61" s="10">
        <f>B57+7</f>
        <v>46359</v>
      </c>
      <c r="C61" s="9" t="s">
        <v>80</v>
      </c>
      <c r="D61" s="35" t="s">
        <v>34</v>
      </c>
      <c r="E61" s="47" t="s">
        <v>83</v>
      </c>
      <c r="F61" s="46"/>
      <c r="G61" s="79"/>
    </row>
    <row r="62" spans="1:7" ht="15.6" thickBot="1" x14ac:dyDescent="0.6">
      <c r="A62" s="139"/>
      <c r="B62" s="86">
        <f>B61+3</f>
        <v>46362</v>
      </c>
      <c r="C62" s="85" t="s">
        <v>44</v>
      </c>
      <c r="D62" s="32"/>
      <c r="E62" s="77"/>
      <c r="F62" s="94"/>
      <c r="G62" s="90"/>
    </row>
    <row r="63" spans="1:7" ht="15.3" x14ac:dyDescent="0.55000000000000004">
      <c r="A63" s="138">
        <v>16</v>
      </c>
      <c r="B63" s="78">
        <f>B61+4</f>
        <v>46363</v>
      </c>
      <c r="C63" s="69"/>
      <c r="D63" s="70"/>
      <c r="E63" s="70"/>
      <c r="F63" s="95"/>
      <c r="G63" s="72"/>
    </row>
    <row r="64" spans="1:7" ht="15.3" x14ac:dyDescent="0.55000000000000004">
      <c r="A64" s="139"/>
      <c r="B64" s="135">
        <f>B60+7</f>
        <v>46364</v>
      </c>
      <c r="C64" s="136" t="s">
        <v>86</v>
      </c>
      <c r="D64" s="110" t="s">
        <v>34</v>
      </c>
      <c r="E64" s="111"/>
      <c r="F64" s="113"/>
      <c r="G64" s="110" t="s">
        <v>98</v>
      </c>
    </row>
    <row r="65" spans="1:7" ht="15.6" thickBot="1" x14ac:dyDescent="0.6">
      <c r="A65" s="140"/>
      <c r="B65" s="58">
        <f>B64+2</f>
        <v>46366</v>
      </c>
      <c r="C65" s="59" t="s">
        <v>4</v>
      </c>
      <c r="D65" s="61"/>
      <c r="E65" s="60"/>
      <c r="F65" s="96"/>
      <c r="G65" s="61"/>
    </row>
    <row r="66" spans="1:7" ht="15.6" thickBot="1" x14ac:dyDescent="0.6">
      <c r="A66" s="57"/>
      <c r="B66" s="99">
        <f>B65+5</f>
        <v>46371</v>
      </c>
      <c r="C66" s="100" t="s">
        <v>47</v>
      </c>
      <c r="D66" s="62"/>
      <c r="E66" s="63"/>
      <c r="F66" s="64"/>
      <c r="G66" s="45"/>
    </row>
    <row r="67" spans="1:7" ht="15.3" x14ac:dyDescent="0.55000000000000004">
      <c r="A67" s="53"/>
      <c r="B67" s="53"/>
      <c r="C67" s="53"/>
      <c r="D67" s="35"/>
      <c r="E67" s="39"/>
      <c r="F67" s="30"/>
      <c r="G67" s="39"/>
    </row>
    <row r="68" spans="1:7" ht="15.3" x14ac:dyDescent="0.55000000000000004">
      <c r="A68" s="53"/>
      <c r="B68" s="53"/>
      <c r="C68" s="53"/>
      <c r="D68" s="35"/>
      <c r="E68" s="39"/>
      <c r="F68" s="30"/>
      <c r="G68" s="39"/>
    </row>
    <row r="69" spans="1:7" ht="15.3" x14ac:dyDescent="0.55000000000000004">
      <c r="A69" s="41"/>
      <c r="B69" s="42"/>
      <c r="C69" s="43"/>
      <c r="D69" s="39"/>
      <c r="E69" s="39"/>
      <c r="F69" s="44"/>
      <c r="G69" s="39"/>
    </row>
    <row r="70" spans="1:7" ht="15.3" x14ac:dyDescent="0.55000000000000004">
      <c r="A70" s="34"/>
      <c r="B70" s="38"/>
      <c r="C70" s="40"/>
      <c r="D70" s="31"/>
      <c r="E70" s="33"/>
      <c r="F70" s="30"/>
      <c r="G70" s="33"/>
    </row>
    <row r="71" spans="1:7" x14ac:dyDescent="0.55000000000000004">
      <c r="D71" s="150"/>
      <c r="E71" s="150"/>
      <c r="F71" s="150"/>
      <c r="G71" s="150"/>
    </row>
    <row r="72" spans="1:7" x14ac:dyDescent="0.55000000000000004">
      <c r="D72" s="150"/>
      <c r="E72" s="150"/>
      <c r="F72" s="150"/>
      <c r="G72" s="150"/>
    </row>
  </sheetData>
  <mergeCells count="20">
    <mergeCell ref="D71:G72"/>
    <mergeCell ref="A59:A62"/>
    <mergeCell ref="A5:A7"/>
    <mergeCell ref="A8:A10"/>
    <mergeCell ref="A36:A38"/>
    <mergeCell ref="A11:A13"/>
    <mergeCell ref="A15:A18"/>
    <mergeCell ref="A19:A22"/>
    <mergeCell ref="A23:A26"/>
    <mergeCell ref="A27:A30"/>
    <mergeCell ref="A31:A34"/>
    <mergeCell ref="A43:A46"/>
    <mergeCell ref="A39:A42"/>
    <mergeCell ref="A51:A54"/>
    <mergeCell ref="A55:A58"/>
    <mergeCell ref="A63:A65"/>
    <mergeCell ref="A1:G1"/>
    <mergeCell ref="A2:G2"/>
    <mergeCell ref="A3:G3"/>
    <mergeCell ref="A47:A50"/>
  </mergeCells>
  <phoneticPr fontId="12" type="noConversion"/>
  <pageMargins left="0.25" right="0.25" top="0.75" bottom="0.75" header="0.3" footer="0.3"/>
  <pageSetup scale="49" orientation="portrait" r:id="rId1"/>
  <ignoredErrors>
    <ignoredError sqref="B44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9BDE6271A42B46B904AB68B6046D13" ma:contentTypeVersion="14" ma:contentTypeDescription="Create a new document." ma:contentTypeScope="" ma:versionID="c61deedb1a0a76d023b3efc2bdc860a9">
  <xsd:schema xmlns:xsd="http://www.w3.org/2001/XMLSchema" xmlns:xs="http://www.w3.org/2001/XMLSchema" xmlns:p="http://schemas.microsoft.com/office/2006/metadata/properties" xmlns:ns2="475ab2be-599a-4474-b667-3030dfe002a7" xmlns:ns3="ce2e1ffa-c6aa-43ca-b2ae-e51a6c11b308" targetNamespace="http://schemas.microsoft.com/office/2006/metadata/properties" ma:root="true" ma:fieldsID="bf79a4a61db19545e2cbbf5145bc34ce" ns2:_="" ns3:_="">
    <xsd:import namespace="475ab2be-599a-4474-b667-3030dfe002a7"/>
    <xsd:import namespace="ce2e1ffa-c6aa-43ca-b2ae-e51a6c11b3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ab2be-599a-4474-b667-3030dfe002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2892c282-ceba-42ac-8ce1-c7c398cdd3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2e1ffa-c6aa-43ca-b2ae-e51a6c11b30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d1acb0c-f496-4b72-988d-2e5ce0bb5349}" ma:internalName="TaxCatchAll" ma:showField="CatchAllData" ma:web="ce2e1ffa-c6aa-43ca-b2ae-e51a6c11b3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75ab2be-599a-4474-b667-3030dfe002a7">
      <Terms xmlns="http://schemas.microsoft.com/office/infopath/2007/PartnerControls"/>
    </lcf76f155ced4ddcb4097134ff3c332f>
    <TaxCatchAll xmlns="ce2e1ffa-c6aa-43ca-b2ae-e51a6c11b308" xsi:nil="true"/>
    <SharedWithUsers xmlns="ce2e1ffa-c6aa-43ca-b2ae-e51a6c11b308">
      <UserInfo>
        <DisplayName>David Dickson (Student)</DisplayName>
        <AccountId>18</AccountId>
        <AccountType/>
      </UserInfo>
      <UserInfo>
        <DisplayName>Andrew Petruska</DisplayName>
        <AccountId>13</AccountId>
        <AccountType/>
      </UserInfo>
      <UserInfo>
        <DisplayName>Ray Zhang</DisplayName>
        <AccountId>14</AccountId>
        <AccountType/>
      </UserInfo>
      <UserInfo>
        <DisplayName>Gary Nave</DisplayName>
        <AccountId>17</AccountId>
        <AccountType/>
      </UserInfo>
      <UserInfo>
        <DisplayName>Kristine Csavina</DisplayName>
        <AccountId>9</AccountId>
        <AccountType/>
      </UserInfo>
      <UserInfo>
        <DisplayName>Xiaoli Zhang</DisplayName>
        <AccountId>25</AccountId>
        <AccountType/>
      </UserInfo>
      <UserInfo>
        <DisplayName>Georgios Kontoudis</DisplayName>
        <AccountId>24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C2AF41F-02D4-4D49-BED5-49D214E40F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7767DD-CC37-46FB-9FCF-A21636507D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ab2be-599a-4474-b667-3030dfe002a7"/>
    <ds:schemaRef ds:uri="ce2e1ffa-c6aa-43ca-b2ae-e51a6c11b3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B0CBA6-923F-4792-B1D1-CF58C2658C11}">
  <ds:schemaRefs>
    <ds:schemaRef ds:uri="http://purl.org/dc/elements/1.1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ce2e1ffa-c6aa-43ca-b2ae-e51a6c11b308"/>
    <ds:schemaRef ds:uri="http://schemas.microsoft.com/office/2006/metadata/properties"/>
    <ds:schemaRef ds:uri="475ab2be-599a-4474-b667-3030dfe002a7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Fall25</vt:lpstr>
    </vt:vector>
  </TitlesOfParts>
  <Manager/>
  <Company>Colorado School of Mines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Gary Nave</dc:creator>
  <cp:keywords/>
  <dc:description/>
  <cp:lastModifiedBy>Georgios Kontoudis</cp:lastModifiedBy>
  <cp:revision/>
  <cp:lastPrinted>2025-12-23T03:43:40Z</cp:lastPrinted>
  <dcterms:created xsi:type="dcterms:W3CDTF">2023-06-15T20:27:52Z</dcterms:created>
  <dcterms:modified xsi:type="dcterms:W3CDTF">2026-08-16T18:14:42Z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0x010100FA9BDE6271A42B46B904AB68B6046D13</vt:lpwstr>
  </property>
</Properties>
</file>